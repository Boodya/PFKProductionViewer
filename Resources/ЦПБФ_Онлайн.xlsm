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 activeTab="1"/>
  </bookViews>
  <sheets>
    <sheet name="Сушилка FEZER" sheetId="1" r:id="rId1"/>
    <sheet name="Сортировка-стопоукладка FEZER" sheetId="2" r:id="rId2"/>
    <sheet name="RAUTE VE лущение" sheetId="3" r:id="rId3"/>
    <sheet name="RAUTE VE смена" sheetId="4" r:id="rId4"/>
  </sheets>
  <calcPr calcId="152511"/>
</workbook>
</file>

<file path=xl/calcChain.xml><?xml version="1.0" encoding="utf-8"?>
<calcChain xmlns="http://schemas.openxmlformats.org/spreadsheetml/2006/main">
  <c r="Y12" i="4" l="1"/>
  <c r="X12" i="4"/>
  <c r="W12" i="4"/>
  <c r="V12" i="4"/>
  <c r="U12" i="4"/>
  <c r="T12" i="4"/>
  <c r="Z12" i="4" l="1"/>
  <c r="H17" i="4"/>
  <c r="I17" i="4"/>
  <c r="G17" i="4"/>
  <c r="E17" i="4"/>
  <c r="D17" i="4"/>
  <c r="F17" i="4"/>
  <c r="J17" i="4" l="1"/>
</calcChain>
</file>

<file path=xl/sharedStrings.xml><?xml version="1.0" encoding="utf-8"?>
<sst xmlns="http://schemas.openxmlformats.org/spreadsheetml/2006/main" count="241" uniqueCount="87">
  <si>
    <t>СТОЛ 1
листы</t>
  </si>
  <si>
    <t>СТОЛ 1
м.куб.</t>
  </si>
  <si>
    <t>СТОЛ 2
листы</t>
  </si>
  <si>
    <t>СТОЛ 2
м.куб.</t>
  </si>
  <si>
    <t>СТОЛ 3
листы</t>
  </si>
  <si>
    <t>СТОЛ 3
м.куб.</t>
  </si>
  <si>
    <t>СТОЛ 4
листы</t>
  </si>
  <si>
    <t>СТОЛ 4
м.куб.</t>
  </si>
  <si>
    <t>СТОЛ 5
листы</t>
  </si>
  <si>
    <t>СТОЛ 5
м.куб.</t>
  </si>
  <si>
    <t>СТОЛ 6
листы</t>
  </si>
  <si>
    <t>СТОЛ 6
м.куб.</t>
  </si>
  <si>
    <t>СТОЛ 7
листы</t>
  </si>
  <si>
    <t>СТОЛ 7
м.куб.</t>
  </si>
  <si>
    <t>СТОЛ 8
листы</t>
  </si>
  <si>
    <t>СТОЛ 8
м.куб.</t>
  </si>
  <si>
    <t>КВАДРАТ</t>
  </si>
  <si>
    <t>БОЛЬШОЙ ФОРМАТ</t>
  </si>
  <si>
    <t>СТОЛ 9
листы</t>
  </si>
  <si>
    <t>СТОЛ 9
м.куб.</t>
  </si>
  <si>
    <t>СТОЛ 10
листы</t>
  </si>
  <si>
    <t>СТОЛ 10
м.куб.</t>
  </si>
  <si>
    <t>СТОЛ 11
листы</t>
  </si>
  <si>
    <t>СТОЛ 11
м.куб.</t>
  </si>
  <si>
    <t>СТОЛ 12
листы</t>
  </si>
  <si>
    <t>СТОЛ 12
м.куб.</t>
  </si>
  <si>
    <t>Толщина</t>
  </si>
  <si>
    <t>Ширина</t>
  </si>
  <si>
    <t>Длина</t>
  </si>
  <si>
    <t>КВАДРАТ Размеры шпона:</t>
  </si>
  <si>
    <t>БОЛЬШОЙ ФОРМАТ Размеры шпона:</t>
  </si>
  <si>
    <t>мм</t>
  </si>
  <si>
    <t>ИТОГО</t>
  </si>
  <si>
    <t>листы</t>
  </si>
  <si>
    <t>м.куб.</t>
  </si>
  <si>
    <t>Технологический контроль</t>
  </si>
  <si>
    <t>Настройки</t>
  </si>
  <si>
    <t>Значение</t>
  </si>
  <si>
    <t>ТЕМПЕРАТУРА ЗОНА 1</t>
  </si>
  <si>
    <t>ТЕМПЕРАТУРА ЗОНА 2</t>
  </si>
  <si>
    <t>H2O ЗОНА 1 %</t>
  </si>
  <si>
    <t>H2O ЗОНА 2 %</t>
  </si>
  <si>
    <t>СКОРОСТЬ  м/мин</t>
  </si>
  <si>
    <t>ТЕКУЩАЯ СМЕНА</t>
  </si>
  <si>
    <t>ПРЕДЫДУЩАЯ СМЕНА</t>
  </si>
  <si>
    <t>Диаметр учетный (мм)</t>
  </si>
  <si>
    <t>Объем учетный (м.куб.)</t>
  </si>
  <si>
    <t>Объем оцилиндровки (м.куб.)</t>
  </si>
  <si>
    <t>Объем карандаша (м.куб.)</t>
  </si>
  <si>
    <t>Процент оцилиндровки (%)</t>
  </si>
  <si>
    <t>Процент карандаша (%)</t>
  </si>
  <si>
    <t>Диаметр карандаша (мм)</t>
  </si>
  <si>
    <t>Стол 1 листы (шт)</t>
  </si>
  <si>
    <t>Стол 1 объем (м.куб.)</t>
  </si>
  <si>
    <t>Стол 2 листы (шт)</t>
  </si>
  <si>
    <t>Стол 2 объем (м.куб.)</t>
  </si>
  <si>
    <t>Стол 3 листы (шт)</t>
  </si>
  <si>
    <t>Стол 3 объем (м.куб.)</t>
  </si>
  <si>
    <t>Толщина шпона (мм)</t>
  </si>
  <si>
    <t>Общее количество листов (шт)</t>
  </si>
  <si>
    <t>Общий объем (м.куб.)</t>
  </si>
  <si>
    <t>Полезный выход (%)</t>
  </si>
  <si>
    <t>Потери объем (м.куб.)</t>
  </si>
  <si>
    <t>Потери (%)</t>
  </si>
  <si>
    <t>Расход</t>
  </si>
  <si>
    <t>Количество (шт)</t>
  </si>
  <si>
    <t>Средний диаметр (мм)</t>
  </si>
  <si>
    <t>Объем (м.куб.)</t>
  </si>
  <si>
    <t>Потери на оцилиндровке (%)</t>
  </si>
  <si>
    <t>Потери на карандаше (%)</t>
  </si>
  <si>
    <t>Диаметр карандаша ср. (м.куб.)</t>
  </si>
  <si>
    <t>Стол 1</t>
  </si>
  <si>
    <t>Пакеты (шт)</t>
  </si>
  <si>
    <t>Листы (шт)</t>
  </si>
  <si>
    <t>Стол 2</t>
  </si>
  <si>
    <t>Стол 3</t>
  </si>
  <si>
    <t>ВСЕГО</t>
  </si>
  <si>
    <t>ЧУРАК</t>
  </si>
  <si>
    <t>Последний обработанный чурак</t>
  </si>
  <si>
    <t>СЫРОЙ ШПОН (готовые пакеты)</t>
  </si>
  <si>
    <t>ВЛАЖНЫЙ</t>
  </si>
  <si>
    <t>НЕФОРМАТ</t>
  </si>
  <si>
    <t>ЗАКОРЫ</t>
  </si>
  <si>
    <t>Smix</t>
  </si>
  <si>
    <t>АВИА</t>
  </si>
  <si>
    <t>УСОВКА 2</t>
  </si>
  <si>
    <t>УСОВКА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</si>
</sst>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0"/>
    <numFmt numFmtId="166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5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2" xfId="0" applyFont="1" applyBorder="1" applyAlignment="1">
      <alignment vertical="center"/>
    </xf>
    <xf numFmtId="0" fontId="5" fillId="3" borderId="2" xfId="0" applyFont="1" applyFill="1" applyBorder="1" applyAlignment="1">
      <alignment vertical="center"/>
    </xf>
    <xf numFmtId="0" fontId="2" fillId="2" borderId="8" xfId="0" applyFont="1" applyFill="1" applyBorder="1" applyAlignment="1">
      <alignment horizontal="center" vertical="center"/>
    </xf>
    <xf numFmtId="2" fontId="2" fillId="2" borderId="9" xfId="0" applyNumberFormat="1" applyFont="1" applyFill="1" applyBorder="1" applyAlignment="1">
      <alignment horizontal="center" vertical="center"/>
    </xf>
    <xf numFmtId="2" fontId="2" fillId="2" borderId="10" xfId="0" applyNumberFormat="1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2" fontId="2" fillId="4" borderId="10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 wrapText="1"/>
    </xf>
    <xf numFmtId="165" fontId="2" fillId="5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165" fontId="2" fillId="6" borderId="1" xfId="0" applyNumberFormat="1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165" fontId="2" fillId="7" borderId="1" xfId="0" applyNumberFormat="1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3" fillId="0" borderId="14" xfId="0" applyFont="1" applyBorder="1"/>
    <xf numFmtId="0" fontId="0" fillId="0" borderId="0" xfId="0" applyBorder="1"/>
    <xf numFmtId="0" fontId="0" fillId="0" borderId="15" xfId="0" applyBorder="1"/>
    <xf numFmtId="0" fontId="4" fillId="0" borderId="14" xfId="0" applyFont="1" applyBorder="1"/>
    <xf numFmtId="0" fontId="0" fillId="0" borderId="14" xfId="0" applyBorder="1"/>
    <xf numFmtId="0" fontId="2" fillId="5" borderId="16" xfId="0" applyFont="1" applyFill="1" applyBorder="1" applyAlignment="1">
      <alignment horizontal="center" vertical="center" wrapText="1"/>
    </xf>
    <xf numFmtId="0" fontId="2" fillId="7" borderId="17" xfId="0" applyFont="1" applyFill="1" applyBorder="1" applyAlignment="1">
      <alignment horizontal="center" vertical="center" wrapText="1"/>
    </xf>
    <xf numFmtId="0" fontId="2" fillId="5" borderId="16" xfId="0" applyFont="1" applyFill="1" applyBorder="1" applyAlignment="1">
      <alignment horizontal="center" vertical="center"/>
    </xf>
    <xf numFmtId="165" fontId="2" fillId="7" borderId="17" xfId="0" applyNumberFormat="1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 wrapText="1"/>
    </xf>
    <xf numFmtId="0" fontId="2" fillId="11" borderId="17" xfId="0" applyFont="1" applyFill="1" applyBorder="1" applyAlignment="1">
      <alignment horizontal="center" vertical="center" wrapText="1"/>
    </xf>
    <xf numFmtId="0" fontId="2" fillId="6" borderId="21" xfId="0" applyFont="1" applyFill="1" applyBorder="1" applyAlignment="1">
      <alignment horizontal="center" vertical="center"/>
    </xf>
    <xf numFmtId="165" fontId="2" fillId="6" borderId="22" xfId="0" applyNumberFormat="1" applyFont="1" applyFill="1" applyBorder="1" applyAlignment="1">
      <alignment horizontal="center" vertical="center"/>
    </xf>
    <xf numFmtId="0" fontId="2" fillId="7" borderId="22" xfId="0" applyFont="1" applyFill="1" applyBorder="1" applyAlignment="1">
      <alignment horizontal="center" vertical="center"/>
    </xf>
    <xf numFmtId="165" fontId="2" fillId="7" borderId="22" xfId="0" applyNumberFormat="1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0" fillId="0" borderId="23" xfId="0" applyBorder="1"/>
    <xf numFmtId="0" fontId="2" fillId="8" borderId="22" xfId="0" applyFont="1" applyFill="1" applyBorder="1" applyAlignment="1">
      <alignment horizontal="center" vertical="center"/>
    </xf>
    <xf numFmtId="165" fontId="2" fillId="8" borderId="22" xfId="0" applyNumberFormat="1" applyFont="1" applyFill="1" applyBorder="1" applyAlignment="1">
      <alignment horizontal="center" vertical="center"/>
    </xf>
    <xf numFmtId="0" fontId="2" fillId="9" borderId="22" xfId="0" applyFont="1" applyFill="1" applyBorder="1" applyAlignment="1">
      <alignment horizontal="center" vertical="center"/>
    </xf>
    <xf numFmtId="165" fontId="2" fillId="9" borderId="22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12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165" fontId="2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/>
    <xf numFmtId="0" fontId="1" fillId="0" borderId="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2" fillId="9" borderId="1" xfId="0" applyFont="1" applyFill="1" applyBorder="1" applyAlignment="1">
      <alignment vertical="center"/>
    </xf>
    <xf numFmtId="0" fontId="2" fillId="12" borderId="1" xfId="0" applyFont="1" applyFill="1" applyBorder="1" applyAlignment="1">
      <alignment vertical="center"/>
    </xf>
    <xf numFmtId="0" fontId="2" fillId="13" borderId="1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0" xfId="0" applyFont="1"/>
    <xf numFmtId="0" fontId="2" fillId="0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2" xfId="0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0" fillId="0" borderId="33" xfId="0" applyBorder="1"/>
    <xf numFmtId="0" fontId="0" fillId="0" borderId="23" xfId="0" applyBorder="1" applyAlignment="1">
      <alignment horizontal="center" vertical="center"/>
    </xf>
    <xf numFmtId="0" fontId="0" fillId="0" borderId="34" xfId="0" applyBorder="1"/>
    <xf numFmtId="0" fontId="0" fillId="0" borderId="31" xfId="0" applyBorder="1" applyAlignment="1">
      <alignment horizontal="right" vertical="center"/>
    </xf>
    <xf numFmtId="166" fontId="2" fillId="2" borderId="32" xfId="0" applyNumberFormat="1" applyFont="1" applyFill="1" applyBorder="1" applyAlignment="1">
      <alignment horizontal="center" vertical="center"/>
    </xf>
    <xf numFmtId="0" fontId="2" fillId="14" borderId="31" xfId="0" applyFont="1" applyFill="1" applyBorder="1" applyAlignment="1">
      <alignment horizontal="right" vertical="center"/>
    </xf>
    <xf numFmtId="0" fontId="2" fillId="15" borderId="31" xfId="0" applyFont="1" applyFill="1" applyBorder="1" applyAlignment="1">
      <alignment horizontal="right" vertical="center"/>
    </xf>
    <xf numFmtId="2" fontId="2" fillId="16" borderId="32" xfId="0" applyNumberFormat="1" applyFont="1" applyFill="1" applyBorder="1" applyAlignment="1">
      <alignment horizontal="center" vertical="center"/>
    </xf>
    <xf numFmtId="0" fontId="2" fillId="10" borderId="25" xfId="0" applyFont="1" applyFill="1" applyBorder="1" applyAlignment="1">
      <alignment vertical="center"/>
    </xf>
    <xf numFmtId="0" fontId="2" fillId="10" borderId="16" xfId="0" applyFont="1" applyFill="1" applyBorder="1" applyAlignment="1">
      <alignment vertical="center"/>
    </xf>
    <xf numFmtId="0" fontId="2" fillId="10" borderId="21" xfId="0" applyFont="1" applyFill="1" applyBorder="1" applyAlignment="1">
      <alignment vertical="center"/>
    </xf>
    <xf numFmtId="0" fontId="2" fillId="13" borderId="26" xfId="0" applyFont="1" applyFill="1" applyBorder="1" applyAlignment="1">
      <alignment horizontal="center" vertical="center"/>
    </xf>
    <xf numFmtId="0" fontId="2" fillId="13" borderId="17" xfId="0" applyFont="1" applyFill="1" applyBorder="1" applyAlignment="1">
      <alignment horizontal="center" vertical="center"/>
    </xf>
    <xf numFmtId="165" fontId="2" fillId="13" borderId="17" xfId="0" applyNumberFormat="1" applyFont="1" applyFill="1" applyBorder="1" applyAlignment="1">
      <alignment horizontal="center" vertical="center"/>
    </xf>
    <xf numFmtId="2" fontId="2" fillId="13" borderId="17" xfId="0" applyNumberFormat="1" applyFont="1" applyFill="1" applyBorder="1" applyAlignment="1">
      <alignment horizontal="center" vertical="center"/>
    </xf>
    <xf numFmtId="2" fontId="2" fillId="13" borderId="24" xfId="0" applyNumberFormat="1" applyFont="1" applyFill="1" applyBorder="1" applyAlignment="1">
      <alignment horizontal="center" vertical="center"/>
    </xf>
    <xf numFmtId="164" fontId="2" fillId="17" borderId="7" xfId="0" applyNumberFormat="1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165" fontId="2" fillId="9" borderId="1" xfId="0" applyNumberFormat="1" applyFont="1" applyFill="1" applyBorder="1" applyAlignment="1">
      <alignment horizontal="center" vertical="center"/>
    </xf>
    <xf numFmtId="0" fontId="2" fillId="14" borderId="16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165" fontId="2" fillId="14" borderId="1" xfId="0" applyNumberFormat="1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2" fillId="16" borderId="17" xfId="0" applyFont="1" applyFill="1" applyBorder="1" applyAlignment="1">
      <alignment horizontal="center" vertical="center"/>
    </xf>
    <xf numFmtId="165" fontId="2" fillId="16" borderId="17" xfId="0" applyNumberFormat="1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165" fontId="2" fillId="2" borderId="24" xfId="0" applyNumberFormat="1" applyFont="1" applyFill="1" applyBorder="1" applyAlignment="1">
      <alignment horizontal="center" vertical="center"/>
    </xf>
    <xf numFmtId="165" fontId="2" fillId="2" borderId="17" xfId="0" applyNumberFormat="1" applyFont="1" applyFill="1" applyBorder="1" applyAlignment="1">
      <alignment horizontal="center" vertical="center"/>
    </xf>
    <xf numFmtId="0" fontId="2" fillId="16" borderId="22" xfId="0" applyFont="1" applyFill="1" applyBorder="1" applyAlignment="1">
      <alignment horizontal="center" vertical="center"/>
    </xf>
    <xf numFmtId="165" fontId="2" fillId="16" borderId="22" xfId="0" applyNumberFormat="1" applyFont="1" applyFill="1" applyBorder="1" applyAlignment="1">
      <alignment horizontal="center" vertical="center"/>
    </xf>
    <xf numFmtId="0" fontId="2" fillId="9" borderId="21" xfId="0" applyFont="1" applyFill="1" applyBorder="1" applyAlignment="1">
      <alignment horizontal="center" vertical="center"/>
    </xf>
    <xf numFmtId="0" fontId="2" fillId="14" borderId="21" xfId="0" applyFont="1" applyFill="1" applyBorder="1" applyAlignment="1">
      <alignment horizontal="center" vertical="center"/>
    </xf>
    <xf numFmtId="0" fontId="2" fillId="17" borderId="16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21" xfId="0" applyFont="1" applyFill="1" applyBorder="1" applyAlignment="1">
      <alignment horizontal="center" vertical="center"/>
    </xf>
    <xf numFmtId="0" fontId="2" fillId="17" borderId="22" xfId="0" applyFont="1" applyFill="1" applyBorder="1" applyAlignment="1">
      <alignment horizontal="center" vertical="center"/>
    </xf>
    <xf numFmtId="165" fontId="2" fillId="17" borderId="22" xfId="0" applyNumberFormat="1" applyFont="1" applyFill="1" applyBorder="1" applyAlignment="1">
      <alignment horizontal="center" vertical="center"/>
    </xf>
    <xf numFmtId="0" fontId="2" fillId="14" borderId="25" xfId="0" applyFont="1" applyFill="1" applyBorder="1" applyAlignment="1">
      <alignment horizontal="center" vertical="center"/>
    </xf>
    <xf numFmtId="0" fontId="2" fillId="14" borderId="26" xfId="0" applyFont="1" applyFill="1" applyBorder="1" applyAlignment="1">
      <alignment horizontal="center" vertical="center"/>
    </xf>
    <xf numFmtId="165" fontId="2" fillId="14" borderId="24" xfId="0" applyNumberFormat="1" applyFont="1" applyFill="1" applyBorder="1" applyAlignment="1">
      <alignment horizontal="center" vertical="center"/>
    </xf>
    <xf numFmtId="0" fontId="2" fillId="9" borderId="25" xfId="0" applyFont="1" applyFill="1" applyBorder="1" applyAlignment="1">
      <alignment horizontal="center" vertical="center"/>
    </xf>
    <xf numFmtId="0" fontId="2" fillId="9" borderId="26" xfId="0" applyFont="1" applyFill="1" applyBorder="1" applyAlignment="1">
      <alignment horizontal="center" vertical="center"/>
    </xf>
    <xf numFmtId="165" fontId="2" fillId="9" borderId="24" xfId="0" applyNumberFormat="1" applyFont="1" applyFill="1" applyBorder="1" applyAlignment="1">
      <alignment horizontal="center" vertical="center"/>
    </xf>
    <xf numFmtId="0" fontId="2" fillId="16" borderId="25" xfId="0" applyFont="1" applyFill="1" applyBorder="1" applyAlignment="1">
      <alignment horizontal="center" vertical="center"/>
    </xf>
    <xf numFmtId="0" fontId="2" fillId="16" borderId="26" xfId="0" applyFont="1" applyFill="1" applyBorder="1" applyAlignment="1">
      <alignment horizontal="center" vertical="center"/>
    </xf>
    <xf numFmtId="0" fontId="2" fillId="16" borderId="21" xfId="0" applyFont="1" applyFill="1" applyBorder="1" applyAlignment="1">
      <alignment horizontal="center" vertical="center"/>
    </xf>
    <xf numFmtId="165" fontId="2" fillId="16" borderId="24" xfId="0" applyNumberFormat="1" applyFont="1" applyFill="1" applyBorder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6" fillId="18" borderId="12" xfId="0" applyFont="1" applyFill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left" vertical="center"/>
    </xf>
    <xf numFmtId="0" fontId="5" fillId="3" borderId="6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7" fillId="7" borderId="17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/>
    </xf>
    <xf numFmtId="0" fontId="7" fillId="5" borderId="16" xfId="0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7" fillId="6" borderId="18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7" fillId="7" borderId="4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C9"/>
  <sheetViews>
    <sheetView zoomScale="160" zoomScaleNormal="160" workbookViewId="0">
      <selection activeCell="C9" sqref="C9"/>
    </sheetView>
  </sheetViews>
  <sheetFormatPr defaultRowHeight="15.75" x14ac:dyDescent="0.25"/>
  <cols>
    <col min="1" max="1" width="28.140625" style="2" bestFit="1" customWidth="1"/>
    <col min="2" max="3" width="12.7109375" style="2" customWidth="1"/>
    <col min="4" max="16384" width="9.140625" style="2"/>
  </cols>
  <sheetData>
    <row r="2" spans="1:3" x14ac:dyDescent="0.25">
      <c r="A2" s="133" t="s">
        <v>35</v>
      </c>
      <c r="B2" s="133"/>
      <c r="C2" s="133"/>
    </row>
    <row r="3" spans="1:3" ht="16.5" thickBot="1" x14ac:dyDescent="0.3">
      <c r="A3" s="1"/>
      <c r="B3" s="1"/>
      <c r="C3" s="1"/>
    </row>
    <row r="4" spans="1:3" ht="30" customHeight="1" x14ac:dyDescent="0.25">
      <c r="A4" s="3"/>
      <c r="B4" s="5" t="s">
        <v>36</v>
      </c>
      <c r="C4" s="8" t="s">
        <v>37</v>
      </c>
    </row>
    <row r="5" spans="1:3" ht="30" customHeight="1" x14ac:dyDescent="0.25">
      <c r="A5" s="4" t="s">
        <v>38</v>
      </c>
      <c r="B5" s="6">
        <v>190</v>
      </c>
      <c r="C5" s="9">
        <v>192.89999389648437</v>
      </c>
    </row>
    <row r="6" spans="1:3" ht="30" customHeight="1" x14ac:dyDescent="0.25">
      <c r="A6" s="4" t="s">
        <v>39</v>
      </c>
      <c r="B6" s="6">
        <v>185</v>
      </c>
      <c r="C6" s="9">
        <v>183.39999389648437</v>
      </c>
    </row>
    <row r="7" spans="1:3" ht="30" customHeight="1" x14ac:dyDescent="0.25">
      <c r="A7" s="4" t="s">
        <v>40</v>
      </c>
      <c r="B7" s="6">
        <v>36</v>
      </c>
      <c r="C7" s="9">
        <v>27.068859100341797</v>
      </c>
    </row>
    <row r="8" spans="1:3" ht="30" customHeight="1" thickBot="1" x14ac:dyDescent="0.3">
      <c r="A8" s="4" t="s">
        <v>41</v>
      </c>
      <c r="B8" s="7">
        <v>30</v>
      </c>
      <c r="C8" s="10">
        <v>28.645830154418945</v>
      </c>
    </row>
    <row r="9" spans="1:3" ht="30" customHeight="1" thickBot="1" x14ac:dyDescent="0.3">
      <c r="A9" s="131" t="s">
        <v>42</v>
      </c>
      <c r="B9" s="132"/>
      <c r="C9" s="96">
        <v>6</v>
      </c>
    </row>
  </sheetData>
  <mergeCells count="2">
    <mergeCell ref="A9:B9"/>
    <mergeCell ref="A2:C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K20"/>
  <sheetViews>
    <sheetView tabSelected="1" zoomScale="110" zoomScaleNormal="110" workbookViewId="0">
      <selection activeCell="A7" sqref="A7:P7"/>
    </sheetView>
  </sheetViews>
  <sheetFormatPr defaultRowHeight="15" x14ac:dyDescent="0.25"/>
  <cols>
    <col min="1" max="20" width="10.7109375" customWidth="1"/>
    <col min="22" max="37" width="10.7109375" customWidth="1"/>
  </cols>
  <sheetData>
    <row r="1" spans="1:37" s="46" customFormat="1" x14ac:dyDescent="0.25">
      <c r="A1" s="44"/>
      <c r="B1" s="43"/>
      <c r="C1" s="43"/>
      <c r="D1" s="43"/>
      <c r="E1" s="43"/>
      <c r="F1" s="43"/>
      <c r="G1" s="43"/>
      <c r="H1" s="47" t="s">
        <v>43</v>
      </c>
      <c r="I1" s="43"/>
      <c r="J1" s="43"/>
      <c r="K1" s="43"/>
      <c r="L1" s="43"/>
      <c r="M1" s="43"/>
      <c r="N1" s="43"/>
      <c r="O1" s="43"/>
      <c r="P1" s="45"/>
      <c r="Q1" s="48"/>
      <c r="R1" s="48"/>
      <c r="S1" s="48"/>
      <c r="T1" s="48"/>
      <c r="V1" s="44"/>
      <c r="W1" s="43"/>
      <c r="X1" s="43"/>
      <c r="Y1" s="43"/>
      <c r="Z1" s="43"/>
      <c r="AA1" s="43"/>
      <c r="AB1" s="43"/>
      <c r="AC1" s="47" t="s">
        <v>44</v>
      </c>
      <c r="AD1" s="43"/>
      <c r="AE1" s="43"/>
      <c r="AF1" s="43"/>
      <c r="AG1" s="43"/>
      <c r="AH1" s="43"/>
      <c r="AI1" s="43"/>
      <c r="AJ1" s="43"/>
      <c r="AK1" s="45"/>
    </row>
    <row r="2" spans="1:37" ht="15.75" x14ac:dyDescent="0.25">
      <c r="A2" s="22" t="s">
        <v>29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4"/>
      <c r="Q2" s="23"/>
      <c r="R2" s="23"/>
      <c r="S2" s="23"/>
      <c r="T2" s="23"/>
      <c r="V2" s="22" t="s">
        <v>29</v>
      </c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4"/>
    </row>
    <row r="3" spans="1:37" ht="15.75" x14ac:dyDescent="0.25">
      <c r="A3" s="25" t="s">
        <v>28</v>
      </c>
      <c r="B3" s="23">
        <v>1600</v>
      </c>
      <c r="C3" s="23" t="s">
        <v>31</v>
      </c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4"/>
      <c r="Q3" s="23"/>
      <c r="R3" s="23"/>
      <c r="S3" s="23"/>
      <c r="T3" s="23"/>
      <c r="V3" s="25" t="s">
        <v>28</v>
      </c>
      <c r="W3" s="23">
        <v>1600</v>
      </c>
      <c r="X3" s="23" t="s">
        <v>31</v>
      </c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4"/>
    </row>
    <row r="4" spans="1:37" ht="15.75" x14ac:dyDescent="0.25">
      <c r="A4" s="25" t="s">
        <v>27</v>
      </c>
      <c r="B4" s="23">
        <v>1600</v>
      </c>
      <c r="C4" s="23" t="s">
        <v>31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4"/>
      <c r="Q4" s="23"/>
      <c r="R4" s="23"/>
      <c r="S4" s="23"/>
      <c r="T4" s="23"/>
      <c r="V4" s="25" t="s">
        <v>27</v>
      </c>
      <c r="W4" s="23">
        <v>1600</v>
      </c>
      <c r="X4" s="23" t="s">
        <v>31</v>
      </c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4"/>
    </row>
    <row r="5" spans="1:37" ht="15.75" x14ac:dyDescent="0.25">
      <c r="A5" s="25" t="s">
        <v>26</v>
      </c>
      <c r="B5" s="23">
        <v>1.5499999523162842</v>
      </c>
      <c r="C5" s="23" t="s">
        <v>31</v>
      </c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4"/>
      <c r="Q5" s="23"/>
      <c r="R5" s="23"/>
      <c r="S5" s="23"/>
      <c r="T5" s="23"/>
      <c r="V5" s="25" t="s">
        <v>26</v>
      </c>
      <c r="W5" s="23">
        <v>1.5499999523162842</v>
      </c>
      <c r="X5" s="23" t="s">
        <v>31</v>
      </c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4"/>
    </row>
    <row r="6" spans="1:37" x14ac:dyDescent="0.25">
      <c r="A6" s="26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4"/>
      <c r="Q6" s="23"/>
      <c r="R6" s="23"/>
      <c r="S6" s="23"/>
      <c r="T6" s="23"/>
      <c r="V6" s="26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4"/>
    </row>
    <row r="7" spans="1:37" x14ac:dyDescent="0.25">
      <c r="A7" s="134" t="s">
        <v>16</v>
      </c>
      <c r="B7" s="135"/>
      <c r="C7" s="135"/>
      <c r="D7" s="135"/>
      <c r="E7" s="135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6"/>
      <c r="Q7" s="49"/>
      <c r="R7" s="49"/>
      <c r="S7" s="49"/>
      <c r="T7" s="49"/>
      <c r="V7" s="134" t="s">
        <v>16</v>
      </c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6"/>
    </row>
    <row r="8" spans="1:37" x14ac:dyDescent="0.25">
      <c r="A8" s="140" t="s">
        <v>80</v>
      </c>
      <c r="B8" s="141"/>
      <c r="C8" s="137" t="s">
        <v>81</v>
      </c>
      <c r="D8" s="137"/>
      <c r="E8" s="139" t="s">
        <v>82</v>
      </c>
      <c r="F8" s="139"/>
      <c r="G8" s="137" t="s">
        <v>83</v>
      </c>
      <c r="H8" s="137"/>
      <c r="I8" s="139" t="s">
        <v>84</v>
      </c>
      <c r="J8" s="139"/>
      <c r="K8" s="137" t="s">
        <v>85</v>
      </c>
      <c r="L8" s="137"/>
      <c r="M8" s="139" t="s">
        <v>86</v>
      </c>
      <c r="N8" s="139"/>
      <c r="O8" s="137" t="s">
        <v>86</v>
      </c>
      <c r="P8" s="138"/>
      <c r="Q8" s="50"/>
      <c r="R8" s="50"/>
      <c r="S8" s="50"/>
      <c r="T8" s="50"/>
      <c r="V8" s="140" t="s">
        <v>80</v>
      </c>
      <c r="W8" s="141"/>
      <c r="X8" s="137" t="s">
        <v>81</v>
      </c>
      <c r="Y8" s="137"/>
      <c r="Z8" s="139" t="s">
        <v>82</v>
      </c>
      <c r="AA8" s="139"/>
      <c r="AB8" s="137" t="s">
        <v>83</v>
      </c>
      <c r="AC8" s="137"/>
      <c r="AD8" s="139" t="s">
        <v>84</v>
      </c>
      <c r="AE8" s="139"/>
      <c r="AF8" s="137" t="s">
        <v>85</v>
      </c>
      <c r="AG8" s="137"/>
      <c r="AH8" s="139" t="s">
        <v>86</v>
      </c>
      <c r="AI8" s="139"/>
      <c r="AJ8" s="137" t="s">
        <v>86</v>
      </c>
      <c r="AK8" s="138"/>
    </row>
    <row r="9" spans="1:37" ht="31.5" x14ac:dyDescent="0.25">
      <c r="A9" s="27" t="s">
        <v>0</v>
      </c>
      <c r="B9" s="11" t="s">
        <v>1</v>
      </c>
      <c r="C9" s="16" t="s">
        <v>2</v>
      </c>
      <c r="D9" s="16" t="s">
        <v>3</v>
      </c>
      <c r="E9" s="13" t="s">
        <v>4</v>
      </c>
      <c r="F9" s="13" t="s">
        <v>5</v>
      </c>
      <c r="G9" s="16" t="s">
        <v>6</v>
      </c>
      <c r="H9" s="16" t="s">
        <v>7</v>
      </c>
      <c r="I9" s="13" t="s">
        <v>8</v>
      </c>
      <c r="J9" s="13" t="s">
        <v>9</v>
      </c>
      <c r="K9" s="16" t="s">
        <v>10</v>
      </c>
      <c r="L9" s="16" t="s">
        <v>11</v>
      </c>
      <c r="M9" s="13" t="s">
        <v>12</v>
      </c>
      <c r="N9" s="13" t="s">
        <v>13</v>
      </c>
      <c r="O9" s="16" t="s">
        <v>14</v>
      </c>
      <c r="P9" s="28" t="s">
        <v>15</v>
      </c>
      <c r="Q9" s="51"/>
      <c r="R9" s="51"/>
      <c r="S9" s="51"/>
      <c r="T9" s="51"/>
      <c r="V9" s="27" t="s">
        <v>0</v>
      </c>
      <c r="W9" s="11" t="s">
        <v>1</v>
      </c>
      <c r="X9" s="16" t="s">
        <v>2</v>
      </c>
      <c r="Y9" s="16" t="s">
        <v>3</v>
      </c>
      <c r="Z9" s="13" t="s">
        <v>4</v>
      </c>
      <c r="AA9" s="13" t="s">
        <v>5</v>
      </c>
      <c r="AB9" s="16" t="s">
        <v>6</v>
      </c>
      <c r="AC9" s="16" t="s">
        <v>7</v>
      </c>
      <c r="AD9" s="13" t="s">
        <v>8</v>
      </c>
      <c r="AE9" s="13" t="s">
        <v>9</v>
      </c>
      <c r="AF9" s="16" t="s">
        <v>10</v>
      </c>
      <c r="AG9" s="16" t="s">
        <v>11</v>
      </c>
      <c r="AH9" s="13" t="s">
        <v>12</v>
      </c>
      <c r="AI9" s="13" t="s">
        <v>13</v>
      </c>
      <c r="AJ9" s="16" t="s">
        <v>14</v>
      </c>
      <c r="AK9" s="28" t="s">
        <v>15</v>
      </c>
    </row>
    <row r="10" spans="1:37" ht="30" customHeight="1" x14ac:dyDescent="0.25">
      <c r="A10" s="29">
        <v>147</v>
      </c>
      <c r="B10" s="12">
        <v>0.58329600095748901</v>
      </c>
      <c r="C10" s="17">
        <v>581</v>
      </c>
      <c r="D10" s="18">
        <v>2.3054080009460449</v>
      </c>
      <c r="E10" s="14">
        <v>962</v>
      </c>
      <c r="F10" s="15">
        <v>3.8172159194946289</v>
      </c>
      <c r="G10" s="17">
        <v>716</v>
      </c>
      <c r="H10" s="18">
        <v>2.8410880565643311</v>
      </c>
      <c r="I10" s="14">
        <v>1012</v>
      </c>
      <c r="J10" s="15">
        <v>4.0156159400939941</v>
      </c>
      <c r="K10" s="17">
        <v>779</v>
      </c>
      <c r="L10" s="18">
        <v>3.0910720825195313</v>
      </c>
      <c r="M10" s="14">
        <v>518</v>
      </c>
      <c r="N10" s="15">
        <v>2.0554239749908447</v>
      </c>
      <c r="O10" s="17">
        <v>14</v>
      </c>
      <c r="P10" s="30">
        <v>5.5551998317241669E-2</v>
      </c>
      <c r="Q10" s="52"/>
      <c r="R10" s="52"/>
      <c r="S10" s="52"/>
      <c r="T10" s="52"/>
      <c r="V10" s="29">
        <v>527</v>
      </c>
      <c r="W10" s="12">
        <v>2.0911359786987305</v>
      </c>
      <c r="X10" s="17">
        <v>1038</v>
      </c>
      <c r="Y10" s="18">
        <v>4.1187839508056641</v>
      </c>
      <c r="Z10" s="14">
        <v>1361</v>
      </c>
      <c r="AA10" s="15">
        <v>5.4004478454589844</v>
      </c>
      <c r="AB10" s="17">
        <v>1589</v>
      </c>
      <c r="AC10" s="18">
        <v>6.3051519393920898</v>
      </c>
      <c r="AD10" s="14">
        <v>2129</v>
      </c>
      <c r="AE10" s="15">
        <v>8.4478721618652344</v>
      </c>
      <c r="AF10" s="17">
        <v>1997</v>
      </c>
      <c r="AG10" s="18">
        <v>7.9240961074829102</v>
      </c>
      <c r="AH10" s="14">
        <v>1763</v>
      </c>
      <c r="AI10" s="15">
        <v>6.9955840110778809</v>
      </c>
      <c r="AJ10" s="17">
        <v>125</v>
      </c>
      <c r="AK10" s="30">
        <v>0.49599999189376831</v>
      </c>
    </row>
    <row r="11" spans="1:37" x14ac:dyDescent="0.25">
      <c r="A11" s="26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4"/>
      <c r="Q11" s="53"/>
      <c r="R11" s="53"/>
      <c r="S11" s="53"/>
      <c r="T11" s="53"/>
      <c r="V11" s="26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4"/>
    </row>
    <row r="12" spans="1:37" ht="15.75" x14ac:dyDescent="0.25">
      <c r="A12" s="22" t="s">
        <v>30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4"/>
      <c r="Q12" s="53"/>
      <c r="R12" s="53"/>
      <c r="S12" s="53"/>
      <c r="T12" s="53"/>
      <c r="V12" s="22" t="s">
        <v>30</v>
      </c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4"/>
    </row>
    <row r="13" spans="1:37" ht="15.75" x14ac:dyDescent="0.25">
      <c r="A13" s="25" t="s">
        <v>28</v>
      </c>
      <c r="B13" s="23">
        <v>1600</v>
      </c>
      <c r="C13" s="23" t="s">
        <v>31</v>
      </c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4"/>
      <c r="Q13" s="53"/>
      <c r="R13" s="53"/>
      <c r="S13" s="53"/>
      <c r="T13" s="53"/>
      <c r="V13" s="25" t="s">
        <v>28</v>
      </c>
      <c r="W13" s="23">
        <v>1600</v>
      </c>
      <c r="X13" s="23" t="s">
        <v>31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4"/>
    </row>
    <row r="14" spans="1:37" ht="15.75" x14ac:dyDescent="0.25">
      <c r="A14" s="25" t="s">
        <v>27</v>
      </c>
      <c r="B14" s="23">
        <v>3150</v>
      </c>
      <c r="C14" s="23" t="s">
        <v>31</v>
      </c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4"/>
      <c r="Q14" s="53"/>
      <c r="R14" s="53"/>
      <c r="S14" s="53"/>
      <c r="T14" s="53"/>
      <c r="V14" s="25" t="s">
        <v>27</v>
      </c>
      <c r="W14" s="23">
        <v>3150</v>
      </c>
      <c r="X14" s="23" t="s">
        <v>31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4"/>
    </row>
    <row r="15" spans="1:37" ht="15.75" x14ac:dyDescent="0.25">
      <c r="A15" s="25" t="s">
        <v>26</v>
      </c>
      <c r="B15" s="23">
        <v>1.5499999523162842</v>
      </c>
      <c r="C15" s="23" t="s">
        <v>31</v>
      </c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4"/>
      <c r="Q15" s="53"/>
      <c r="R15" s="53"/>
      <c r="S15" s="53"/>
      <c r="T15" s="53"/>
      <c r="V15" s="25" t="s">
        <v>26</v>
      </c>
      <c r="W15" s="23">
        <v>1.5499999523162842</v>
      </c>
      <c r="X15" s="23" t="s">
        <v>31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4"/>
    </row>
    <row r="16" spans="1:37" x14ac:dyDescent="0.25">
      <c r="A16" s="26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4"/>
      <c r="Q16" s="53"/>
      <c r="R16" s="53"/>
      <c r="S16" s="53"/>
      <c r="T16" s="53"/>
      <c r="V16" s="26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4"/>
    </row>
    <row r="17" spans="1:37" x14ac:dyDescent="0.25">
      <c r="A17" s="142" t="s">
        <v>17</v>
      </c>
      <c r="B17" s="143"/>
      <c r="C17" s="143"/>
      <c r="D17" s="143"/>
      <c r="E17" s="143"/>
      <c r="F17" s="143"/>
      <c r="G17" s="143"/>
      <c r="H17" s="144"/>
      <c r="I17" s="23"/>
      <c r="J17" s="147" t="s">
        <v>32</v>
      </c>
      <c r="K17" s="143"/>
      <c r="L17" s="143"/>
      <c r="M17" s="144"/>
      <c r="N17" s="23"/>
      <c r="O17" s="148" t="s">
        <v>32</v>
      </c>
      <c r="P17" s="149"/>
      <c r="Q17" s="54"/>
      <c r="R17" s="54"/>
      <c r="S17" s="54"/>
      <c r="T17" s="54"/>
      <c r="V17" s="142" t="s">
        <v>17</v>
      </c>
      <c r="W17" s="143"/>
      <c r="X17" s="143"/>
      <c r="Y17" s="143"/>
      <c r="Z17" s="143"/>
      <c r="AA17" s="143"/>
      <c r="AB17" s="143"/>
      <c r="AC17" s="144"/>
      <c r="AD17" s="23"/>
      <c r="AE17" s="147" t="s">
        <v>32</v>
      </c>
      <c r="AF17" s="143"/>
      <c r="AG17" s="143"/>
      <c r="AH17" s="144"/>
      <c r="AI17" s="23"/>
      <c r="AJ17" s="148" t="s">
        <v>32</v>
      </c>
      <c r="AK17" s="149"/>
    </row>
    <row r="18" spans="1:37" x14ac:dyDescent="0.25">
      <c r="A18" s="152" t="s">
        <v>80</v>
      </c>
      <c r="B18" s="153"/>
      <c r="C18" s="154" t="s">
        <v>81</v>
      </c>
      <c r="D18" s="155"/>
      <c r="E18" s="156" t="s">
        <v>83</v>
      </c>
      <c r="F18" s="153"/>
      <c r="G18" s="154" t="s">
        <v>84</v>
      </c>
      <c r="H18" s="155"/>
      <c r="I18" s="23"/>
      <c r="J18" s="145" t="s">
        <v>16</v>
      </c>
      <c r="K18" s="145"/>
      <c r="L18" s="146" t="s">
        <v>17</v>
      </c>
      <c r="M18" s="146"/>
      <c r="N18" s="23"/>
      <c r="O18" s="150"/>
      <c r="P18" s="151"/>
      <c r="Q18" s="54"/>
      <c r="R18" s="54"/>
      <c r="S18" s="54"/>
      <c r="T18" s="54"/>
      <c r="V18" s="152" t="s">
        <v>80</v>
      </c>
      <c r="W18" s="153"/>
      <c r="X18" s="154" t="s">
        <v>81</v>
      </c>
      <c r="Y18" s="155"/>
      <c r="Z18" s="156" t="s">
        <v>83</v>
      </c>
      <c r="AA18" s="153"/>
      <c r="AB18" s="154" t="s">
        <v>84</v>
      </c>
      <c r="AC18" s="155"/>
      <c r="AD18" s="23"/>
      <c r="AE18" s="145" t="s">
        <v>16</v>
      </c>
      <c r="AF18" s="145"/>
      <c r="AG18" s="146" t="s">
        <v>17</v>
      </c>
      <c r="AH18" s="146"/>
      <c r="AI18" s="23"/>
      <c r="AJ18" s="150"/>
      <c r="AK18" s="151"/>
    </row>
    <row r="19" spans="1:37" ht="31.5" x14ac:dyDescent="0.25">
      <c r="A19" s="31" t="s">
        <v>18</v>
      </c>
      <c r="B19" s="13" t="s">
        <v>19</v>
      </c>
      <c r="C19" s="16" t="s">
        <v>20</v>
      </c>
      <c r="D19" s="16" t="s">
        <v>21</v>
      </c>
      <c r="E19" s="13" t="s">
        <v>22</v>
      </c>
      <c r="F19" s="13" t="s">
        <v>23</v>
      </c>
      <c r="G19" s="16" t="s">
        <v>24</v>
      </c>
      <c r="H19" s="16" t="s">
        <v>25</v>
      </c>
      <c r="I19" s="23"/>
      <c r="J19" s="19" t="s">
        <v>33</v>
      </c>
      <c r="K19" s="19" t="s">
        <v>34</v>
      </c>
      <c r="L19" s="20" t="s">
        <v>33</v>
      </c>
      <c r="M19" s="20" t="s">
        <v>34</v>
      </c>
      <c r="N19" s="23"/>
      <c r="O19" s="21" t="s">
        <v>33</v>
      </c>
      <c r="P19" s="32" t="s">
        <v>34</v>
      </c>
      <c r="Q19" s="51"/>
      <c r="R19" s="51"/>
      <c r="S19" s="51"/>
      <c r="T19" s="51"/>
      <c r="V19" s="31" t="s">
        <v>18</v>
      </c>
      <c r="W19" s="13" t="s">
        <v>19</v>
      </c>
      <c r="X19" s="16" t="s">
        <v>20</v>
      </c>
      <c r="Y19" s="16" t="s">
        <v>21</v>
      </c>
      <c r="Z19" s="13" t="s">
        <v>22</v>
      </c>
      <c r="AA19" s="13" t="s">
        <v>23</v>
      </c>
      <c r="AB19" s="16" t="s">
        <v>24</v>
      </c>
      <c r="AC19" s="16" t="s">
        <v>25</v>
      </c>
      <c r="AD19" s="23"/>
      <c r="AE19" s="19" t="s">
        <v>33</v>
      </c>
      <c r="AF19" s="19" t="s">
        <v>34</v>
      </c>
      <c r="AG19" s="20" t="s">
        <v>33</v>
      </c>
      <c r="AH19" s="20" t="s">
        <v>34</v>
      </c>
      <c r="AI19" s="23"/>
      <c r="AJ19" s="21" t="s">
        <v>33</v>
      </c>
      <c r="AK19" s="32" t="s">
        <v>34</v>
      </c>
    </row>
    <row r="20" spans="1:37" ht="30" customHeight="1" thickBot="1" x14ac:dyDescent="0.3">
      <c r="A20" s="33">
        <v>21</v>
      </c>
      <c r="B20" s="34">
        <v>0.16405199468135834</v>
      </c>
      <c r="C20" s="35">
        <v>91</v>
      </c>
      <c r="D20" s="36">
        <v>0.71089202165603638</v>
      </c>
      <c r="E20" s="37">
        <v>270</v>
      </c>
      <c r="F20" s="34">
        <v>2.1092400550842285</v>
      </c>
      <c r="G20" s="35">
        <v>453</v>
      </c>
      <c r="H20" s="36">
        <v>3.5388360023498535</v>
      </c>
      <c r="I20" s="38"/>
      <c r="J20" s="39">
        <v>4729</v>
      </c>
      <c r="K20" s="40">
        <v>18.764669418334961</v>
      </c>
      <c r="L20" s="41">
        <v>835</v>
      </c>
      <c r="M20" s="42">
        <v>6.5230197906494141</v>
      </c>
      <c r="N20" s="38"/>
      <c r="O20" s="106">
        <v>5564</v>
      </c>
      <c r="P20" s="107">
        <v>25.287689208984375</v>
      </c>
      <c r="Q20" s="52"/>
      <c r="R20" s="52"/>
      <c r="S20" s="52"/>
      <c r="T20" s="52"/>
      <c r="V20" s="33">
        <v>33</v>
      </c>
      <c r="W20" s="34">
        <v>0.25779598951339722</v>
      </c>
      <c r="X20" s="35">
        <v>110</v>
      </c>
      <c r="Y20" s="36">
        <v>0.85931998491287231</v>
      </c>
      <c r="Z20" s="37">
        <v>313</v>
      </c>
      <c r="AA20" s="34">
        <v>2.4451560974121094</v>
      </c>
      <c r="AB20" s="35">
        <v>676</v>
      </c>
      <c r="AC20" s="36">
        <v>5.280911922454834</v>
      </c>
      <c r="AD20" s="38"/>
      <c r="AE20" s="39">
        <v>10529</v>
      </c>
      <c r="AF20" s="40">
        <v>41.779071807861328</v>
      </c>
      <c r="AG20" s="41">
        <v>1132</v>
      </c>
      <c r="AH20" s="42">
        <v>8.8431844711303711</v>
      </c>
      <c r="AI20" s="38"/>
      <c r="AJ20" s="106">
        <v>11661</v>
      </c>
      <c r="AK20" s="107">
        <v>50.622249603271484</v>
      </c>
    </row>
  </sheetData>
  <mergeCells count="36">
    <mergeCell ref="V17:AC17"/>
    <mergeCell ref="AE17:AH17"/>
    <mergeCell ref="AJ17:AK18"/>
    <mergeCell ref="V18:W18"/>
    <mergeCell ref="X18:Y18"/>
    <mergeCell ref="Z18:AA18"/>
    <mergeCell ref="AB18:AC18"/>
    <mergeCell ref="AE18:AF18"/>
    <mergeCell ref="AG18:AH18"/>
    <mergeCell ref="V7:AK7"/>
    <mergeCell ref="V8:W8"/>
    <mergeCell ref="X8:Y8"/>
    <mergeCell ref="Z8:AA8"/>
    <mergeCell ref="AB8:AC8"/>
    <mergeCell ref="AD8:AE8"/>
    <mergeCell ref="AF8:AG8"/>
    <mergeCell ref="AH8:AI8"/>
    <mergeCell ref="AJ8:AK8"/>
    <mergeCell ref="A17:H17"/>
    <mergeCell ref="J18:K18"/>
    <mergeCell ref="L18:M18"/>
    <mergeCell ref="J17:M17"/>
    <mergeCell ref="O17:P18"/>
    <mergeCell ref="A18:B18"/>
    <mergeCell ref="C18:D18"/>
    <mergeCell ref="E18:F18"/>
    <mergeCell ref="G18:H18"/>
    <mergeCell ref="A7:P7"/>
    <mergeCell ref="O8:P8"/>
    <mergeCell ref="M8:N8"/>
    <mergeCell ref="K8:L8"/>
    <mergeCell ref="I8:J8"/>
    <mergeCell ref="G8:H8"/>
    <mergeCell ref="E8:F8"/>
    <mergeCell ref="C8:D8"/>
    <mergeCell ref="A8:B8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3:H11"/>
  <sheetViews>
    <sheetView zoomScale="130" zoomScaleNormal="130" workbookViewId="0">
      <selection activeCell="H10" sqref="H10"/>
    </sheetView>
  </sheetViews>
  <sheetFormatPr defaultRowHeight="15" x14ac:dyDescent="0.25"/>
  <cols>
    <col min="1" max="1" width="31.5703125" bestFit="1" customWidth="1"/>
    <col min="2" max="2" width="10.7109375" style="46" customWidth="1"/>
    <col min="4" max="4" width="22.5703125" bestFit="1" customWidth="1"/>
    <col min="5" max="5" width="10.7109375" style="46" customWidth="1"/>
    <col min="7" max="7" width="31.85546875" bestFit="1" customWidth="1"/>
    <col min="8" max="8" width="10.7109375" style="46" customWidth="1"/>
  </cols>
  <sheetData>
    <row r="3" spans="1:8" ht="15.75" x14ac:dyDescent="0.25">
      <c r="A3" s="67" t="s">
        <v>78</v>
      </c>
    </row>
    <row r="5" spans="1:8" s="55" customFormat="1" ht="30" customHeight="1" x14ac:dyDescent="0.25">
      <c r="A5" s="58" t="s">
        <v>45</v>
      </c>
      <c r="B5" s="59">
        <v>278</v>
      </c>
      <c r="C5" s="1"/>
      <c r="D5" s="68" t="s">
        <v>58</v>
      </c>
      <c r="E5" s="69">
        <v>1.55</v>
      </c>
      <c r="F5" s="1"/>
      <c r="G5" s="57" t="s">
        <v>59</v>
      </c>
      <c r="H5" s="59">
        <v>12</v>
      </c>
    </row>
    <row r="6" spans="1:8" s="55" customFormat="1" ht="30" customHeight="1" x14ac:dyDescent="0.25">
      <c r="A6" s="58" t="s">
        <v>46</v>
      </c>
      <c r="B6" s="59">
        <v>9.7000000000000003E-2</v>
      </c>
      <c r="C6" s="1"/>
      <c r="D6" s="60" t="s">
        <v>52</v>
      </c>
      <c r="E6" s="59">
        <v>4</v>
      </c>
      <c r="F6" s="1"/>
      <c r="G6" s="57" t="s">
        <v>60</v>
      </c>
      <c r="H6" s="59">
        <v>7.8700000000000006E-2</v>
      </c>
    </row>
    <row r="7" spans="1:8" s="55" customFormat="1" ht="30" customHeight="1" x14ac:dyDescent="0.25">
      <c r="A7" s="58" t="s">
        <v>47</v>
      </c>
      <c r="B7" s="59">
        <v>1.21E-2</v>
      </c>
      <c r="C7" s="1"/>
      <c r="D7" s="60" t="s">
        <v>53</v>
      </c>
      <c r="E7" s="59">
        <v>1.77E-2</v>
      </c>
      <c r="F7" s="1"/>
      <c r="G7" s="57" t="s">
        <v>61</v>
      </c>
      <c r="H7" s="59">
        <v>81.156599999999997</v>
      </c>
    </row>
    <row r="8" spans="1:8" s="55" customFormat="1" ht="30" customHeight="1" x14ac:dyDescent="0.25">
      <c r="A8" s="58" t="s">
        <v>48</v>
      </c>
      <c r="B8" s="59">
        <v>5.7999999999999996E-3</v>
      </c>
      <c r="C8" s="1"/>
      <c r="D8" s="60" t="s">
        <v>54</v>
      </c>
      <c r="E8" s="59">
        <v>2</v>
      </c>
      <c r="F8" s="1"/>
      <c r="G8" s="57" t="s">
        <v>62</v>
      </c>
      <c r="H8" s="59">
        <v>4.0000000000000002E-4</v>
      </c>
    </row>
    <row r="9" spans="1:8" s="55" customFormat="1" ht="30" customHeight="1" x14ac:dyDescent="0.25">
      <c r="A9" s="58" t="s">
        <v>49</v>
      </c>
      <c r="B9" s="59">
        <v>12.47</v>
      </c>
      <c r="C9" s="1"/>
      <c r="D9" s="60" t="s">
        <v>55</v>
      </c>
      <c r="E9" s="59">
        <v>8.8000000000000005E-3</v>
      </c>
      <c r="F9" s="1"/>
      <c r="G9" s="57" t="s">
        <v>63</v>
      </c>
      <c r="H9" s="59">
        <v>0.38979999999999998</v>
      </c>
    </row>
    <row r="10" spans="1:8" s="55" customFormat="1" ht="30" customHeight="1" x14ac:dyDescent="0.25">
      <c r="A10" s="58" t="s">
        <v>50</v>
      </c>
      <c r="B10" s="59">
        <v>5.98</v>
      </c>
      <c r="C10" s="1"/>
      <c r="D10" s="60" t="s">
        <v>56</v>
      </c>
      <c r="E10" s="59">
        <v>6</v>
      </c>
      <c r="F10" s="1"/>
      <c r="G10" s="57" t="s">
        <v>64</v>
      </c>
      <c r="H10" s="61">
        <v>1.2322</v>
      </c>
    </row>
    <row r="11" spans="1:8" s="55" customFormat="1" ht="30" customHeight="1" x14ac:dyDescent="0.25">
      <c r="A11" s="58" t="s">
        <v>51</v>
      </c>
      <c r="B11" s="59">
        <v>68</v>
      </c>
      <c r="C11" s="1"/>
      <c r="D11" s="60" t="s">
        <v>57</v>
      </c>
      <c r="E11" s="59">
        <v>5.2200000000000003E-2</v>
      </c>
      <c r="F11" s="1"/>
      <c r="G11" s="1"/>
      <c r="H11" s="56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C18"/>
  <sheetViews>
    <sheetView zoomScaleNormal="100" workbookViewId="0">
      <selection activeCell="A4" sqref="A4:B4"/>
    </sheetView>
  </sheetViews>
  <sheetFormatPr defaultRowHeight="15" x14ac:dyDescent="0.25"/>
  <cols>
    <col min="1" max="1" width="35.7109375" customWidth="1"/>
    <col min="2" max="2" width="15.7109375" style="62" customWidth="1"/>
    <col min="3" max="3" width="5.7109375" customWidth="1"/>
    <col min="4" max="12" width="15.7109375" style="62" customWidth="1"/>
    <col min="13" max="13" width="2.7109375" customWidth="1"/>
    <col min="17" max="17" width="33.140625" bestFit="1" customWidth="1"/>
    <col min="18" max="18" width="15.7109375" customWidth="1"/>
    <col min="19" max="19" width="5.7109375" customWidth="1"/>
    <col min="20" max="28" width="15.7109375" customWidth="1"/>
    <col min="29" max="29" width="2.7109375" customWidth="1"/>
  </cols>
  <sheetData>
    <row r="1" spans="1:29" ht="18.75" x14ac:dyDescent="0.25">
      <c r="A1" s="70"/>
      <c r="B1" s="71"/>
      <c r="C1" s="72"/>
      <c r="D1" s="71"/>
      <c r="E1" s="128"/>
      <c r="F1" s="129" t="s">
        <v>43</v>
      </c>
      <c r="G1" s="128"/>
      <c r="H1" s="71"/>
      <c r="I1" s="71"/>
      <c r="J1" s="71"/>
      <c r="K1" s="71"/>
      <c r="L1" s="71"/>
      <c r="M1" s="73"/>
      <c r="Q1" s="70"/>
      <c r="R1" s="71"/>
      <c r="S1" s="72"/>
      <c r="T1" s="71"/>
      <c r="U1" s="128"/>
      <c r="V1" s="129" t="s">
        <v>44</v>
      </c>
      <c r="W1" s="128"/>
      <c r="X1" s="71"/>
      <c r="Y1" s="71"/>
      <c r="Z1" s="71"/>
      <c r="AA1" s="71"/>
      <c r="AB1" s="71"/>
      <c r="AC1" s="73"/>
    </row>
    <row r="2" spans="1:29" x14ac:dyDescent="0.25">
      <c r="A2" s="26"/>
      <c r="B2" s="74"/>
      <c r="C2" s="23"/>
      <c r="D2" s="74"/>
      <c r="E2" s="74"/>
      <c r="F2" s="74"/>
      <c r="G2" s="74"/>
      <c r="H2" s="74"/>
      <c r="I2" s="74"/>
      <c r="J2" s="74"/>
      <c r="K2" s="74"/>
      <c r="L2" s="74"/>
      <c r="M2" s="24"/>
      <c r="Q2" s="26"/>
      <c r="R2" s="74"/>
      <c r="S2" s="23"/>
      <c r="T2" s="74"/>
      <c r="U2" s="74"/>
      <c r="V2" s="74"/>
      <c r="W2" s="74"/>
      <c r="X2" s="74"/>
      <c r="Y2" s="74"/>
      <c r="Z2" s="74"/>
      <c r="AA2" s="74"/>
      <c r="AB2" s="74"/>
      <c r="AC2" s="24"/>
    </row>
    <row r="3" spans="1:29" ht="15.75" thickBot="1" x14ac:dyDescent="0.3">
      <c r="A3" s="26"/>
      <c r="B3" s="74"/>
      <c r="C3" s="23"/>
      <c r="D3" s="74"/>
      <c r="E3" s="74"/>
      <c r="F3" s="74"/>
      <c r="G3" s="74"/>
      <c r="H3" s="74"/>
      <c r="I3" s="74"/>
      <c r="J3" s="74"/>
      <c r="K3" s="74"/>
      <c r="L3" s="74"/>
      <c r="M3" s="24"/>
      <c r="Q3" s="26"/>
      <c r="R3" s="74"/>
      <c r="S3" s="23"/>
      <c r="T3" s="74"/>
      <c r="U3" s="74"/>
      <c r="V3" s="74"/>
      <c r="W3" s="74"/>
      <c r="X3" s="74"/>
      <c r="Y3" s="74"/>
      <c r="Z3" s="74"/>
      <c r="AA3" s="74"/>
      <c r="AB3" s="74"/>
      <c r="AC3" s="24"/>
    </row>
    <row r="4" spans="1:29" s="63" customFormat="1" ht="24.95" customHeight="1" thickBot="1" x14ac:dyDescent="0.3">
      <c r="A4" s="157" t="s">
        <v>77</v>
      </c>
      <c r="B4" s="158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Q4" s="157" t="s">
        <v>77</v>
      </c>
      <c r="R4" s="158"/>
      <c r="S4" s="75"/>
      <c r="T4" s="157" t="s">
        <v>79</v>
      </c>
      <c r="U4" s="159"/>
      <c r="V4" s="159"/>
      <c r="W4" s="159"/>
      <c r="X4" s="159"/>
      <c r="Y4" s="159"/>
      <c r="Z4" s="159"/>
      <c r="AA4" s="159"/>
      <c r="AB4" s="158"/>
      <c r="AC4" s="76"/>
    </row>
    <row r="5" spans="1:29" s="1" customFormat="1" ht="24.95" customHeight="1" thickBot="1" x14ac:dyDescent="0.3">
      <c r="A5" s="88" t="s">
        <v>65</v>
      </c>
      <c r="B5" s="91">
        <v>752</v>
      </c>
      <c r="C5" s="77"/>
      <c r="D5" s="77"/>
      <c r="E5" s="163" t="s">
        <v>71</v>
      </c>
      <c r="F5" s="164"/>
      <c r="G5" s="77"/>
      <c r="H5" s="163" t="s">
        <v>74</v>
      </c>
      <c r="I5" s="164"/>
      <c r="J5" s="77"/>
      <c r="K5" s="163" t="s">
        <v>75</v>
      </c>
      <c r="L5" s="164"/>
      <c r="M5" s="78"/>
      <c r="Q5" s="88" t="s">
        <v>65</v>
      </c>
      <c r="R5" s="91">
        <v>1543</v>
      </c>
      <c r="S5" s="77"/>
      <c r="T5" s="160" t="s">
        <v>71</v>
      </c>
      <c r="U5" s="161"/>
      <c r="V5" s="161"/>
      <c r="W5" s="161" t="s">
        <v>74</v>
      </c>
      <c r="X5" s="161"/>
      <c r="Y5" s="161"/>
      <c r="Z5" s="161" t="s">
        <v>75</v>
      </c>
      <c r="AA5" s="161"/>
      <c r="AB5" s="162"/>
      <c r="AC5" s="78"/>
    </row>
    <row r="6" spans="1:29" s="1" customFormat="1" ht="24.95" customHeight="1" x14ac:dyDescent="0.25">
      <c r="A6" s="89" t="s">
        <v>66</v>
      </c>
      <c r="B6" s="92">
        <v>230</v>
      </c>
      <c r="C6" s="77"/>
      <c r="D6" s="77"/>
      <c r="E6" s="118" t="s">
        <v>73</v>
      </c>
      <c r="F6" s="119" t="s">
        <v>67</v>
      </c>
      <c r="G6" s="77"/>
      <c r="H6" s="121" t="s">
        <v>73</v>
      </c>
      <c r="I6" s="122" t="s">
        <v>67</v>
      </c>
      <c r="J6" s="77"/>
      <c r="K6" s="124" t="s">
        <v>73</v>
      </c>
      <c r="L6" s="125" t="s">
        <v>67</v>
      </c>
      <c r="M6" s="78"/>
      <c r="Q6" s="89" t="s">
        <v>66</v>
      </c>
      <c r="R6" s="92">
        <v>254</v>
      </c>
      <c r="S6" s="77"/>
      <c r="T6" s="99" t="s">
        <v>72</v>
      </c>
      <c r="U6" s="100" t="s">
        <v>73</v>
      </c>
      <c r="V6" s="100" t="s">
        <v>67</v>
      </c>
      <c r="W6" s="97" t="s">
        <v>72</v>
      </c>
      <c r="X6" s="97" t="s">
        <v>73</v>
      </c>
      <c r="Y6" s="97" t="s">
        <v>67</v>
      </c>
      <c r="Z6" s="102" t="s">
        <v>72</v>
      </c>
      <c r="AA6" s="102" t="s">
        <v>73</v>
      </c>
      <c r="AB6" s="103" t="s">
        <v>67</v>
      </c>
      <c r="AC6" s="78"/>
    </row>
    <row r="7" spans="1:29" s="1" customFormat="1" ht="24.95" customHeight="1" thickBot="1" x14ac:dyDescent="0.3">
      <c r="A7" s="89" t="s">
        <v>67</v>
      </c>
      <c r="B7" s="108">
        <v>52.238998413085938</v>
      </c>
      <c r="C7" s="77"/>
      <c r="D7" s="77"/>
      <c r="E7" s="112">
        <v>84</v>
      </c>
      <c r="F7" s="120">
        <v>0.37161627411842346</v>
      </c>
      <c r="G7" s="77"/>
      <c r="H7" s="111">
        <v>241</v>
      </c>
      <c r="I7" s="123">
        <v>1.0661814212799072</v>
      </c>
      <c r="J7" s="77"/>
      <c r="K7" s="126">
        <v>177</v>
      </c>
      <c r="L7" s="127">
        <v>1.5392483472824097</v>
      </c>
      <c r="M7" s="78"/>
      <c r="Q7" s="89" t="s">
        <v>67</v>
      </c>
      <c r="R7" s="108">
        <v>129.94999694824219</v>
      </c>
      <c r="S7" s="77"/>
      <c r="T7" s="99">
        <v>28</v>
      </c>
      <c r="U7" s="100">
        <v>12374</v>
      </c>
      <c r="V7" s="101">
        <v>54.75</v>
      </c>
      <c r="W7" s="97">
        <v>11</v>
      </c>
      <c r="X7" s="97">
        <v>4437</v>
      </c>
      <c r="Y7" s="98">
        <v>19.629999160766602</v>
      </c>
      <c r="Z7" s="102">
        <v>5</v>
      </c>
      <c r="AA7" s="102">
        <v>1688</v>
      </c>
      <c r="AB7" s="104">
        <v>14.690000534057617</v>
      </c>
      <c r="AC7" s="78"/>
    </row>
    <row r="8" spans="1:29" s="1" customFormat="1" ht="24.95" customHeight="1" thickBot="1" x14ac:dyDescent="0.3">
      <c r="A8" s="89" t="s">
        <v>47</v>
      </c>
      <c r="B8" s="93">
        <v>9.6738996505737305</v>
      </c>
      <c r="C8" s="77"/>
      <c r="D8" s="77"/>
      <c r="E8" s="77"/>
      <c r="F8" s="77"/>
      <c r="G8" s="77"/>
      <c r="H8" s="77"/>
      <c r="I8" s="77"/>
      <c r="J8" s="77"/>
      <c r="K8" s="77"/>
      <c r="L8" s="77"/>
      <c r="M8" s="78"/>
      <c r="Q8" s="89" t="s">
        <v>47</v>
      </c>
      <c r="R8" s="93">
        <v>21.503400802612305</v>
      </c>
      <c r="S8" s="77"/>
      <c r="T8" s="64"/>
      <c r="U8" s="65"/>
      <c r="V8" s="65"/>
      <c r="W8" s="65"/>
      <c r="X8" s="65"/>
      <c r="Y8" s="65"/>
      <c r="Z8" s="65"/>
      <c r="AA8" s="65"/>
      <c r="AB8" s="66"/>
      <c r="AC8" s="78"/>
    </row>
    <row r="9" spans="1:29" s="1" customFormat="1" ht="24.95" customHeight="1" thickBot="1" x14ac:dyDescent="0.3">
      <c r="A9" s="89" t="s">
        <v>48</v>
      </c>
      <c r="B9" s="93">
        <v>4.83489990234375</v>
      </c>
      <c r="C9" s="77"/>
      <c r="D9" s="157" t="s">
        <v>79</v>
      </c>
      <c r="E9" s="159"/>
      <c r="F9" s="159"/>
      <c r="G9" s="159"/>
      <c r="H9" s="159"/>
      <c r="I9" s="159"/>
      <c r="J9" s="159"/>
      <c r="K9" s="159"/>
      <c r="L9" s="158"/>
      <c r="M9" s="78"/>
      <c r="Q9" s="89" t="s">
        <v>48</v>
      </c>
      <c r="R9" s="93">
        <v>10.395999908447266</v>
      </c>
      <c r="S9" s="77"/>
      <c r="T9" s="157" t="s">
        <v>32</v>
      </c>
      <c r="U9" s="159"/>
      <c r="V9" s="159"/>
      <c r="W9" s="159"/>
      <c r="X9" s="159"/>
      <c r="Y9" s="159"/>
      <c r="Z9" s="159"/>
      <c r="AA9" s="159"/>
      <c r="AB9" s="158"/>
      <c r="AC9" s="78"/>
    </row>
    <row r="10" spans="1:29" s="1" customFormat="1" ht="24.95" customHeight="1" x14ac:dyDescent="0.25">
      <c r="A10" s="89" t="s">
        <v>68</v>
      </c>
      <c r="B10" s="94">
        <v>18.520000457763672</v>
      </c>
      <c r="C10" s="77"/>
      <c r="D10" s="160" t="s">
        <v>71</v>
      </c>
      <c r="E10" s="161"/>
      <c r="F10" s="161"/>
      <c r="G10" s="161" t="s">
        <v>74</v>
      </c>
      <c r="H10" s="161"/>
      <c r="I10" s="161"/>
      <c r="J10" s="161" t="s">
        <v>75</v>
      </c>
      <c r="K10" s="161"/>
      <c r="L10" s="162"/>
      <c r="M10" s="78"/>
      <c r="Q10" s="89" t="s">
        <v>68</v>
      </c>
      <c r="R10" s="94">
        <v>16.549999237060547</v>
      </c>
      <c r="S10" s="77"/>
      <c r="T10" s="160" t="s">
        <v>16</v>
      </c>
      <c r="U10" s="161"/>
      <c r="V10" s="161"/>
      <c r="W10" s="161" t="s">
        <v>17</v>
      </c>
      <c r="X10" s="161"/>
      <c r="Y10" s="161"/>
      <c r="Z10" s="161" t="s">
        <v>76</v>
      </c>
      <c r="AA10" s="161"/>
      <c r="AB10" s="162"/>
      <c r="AC10" s="78"/>
    </row>
    <row r="11" spans="1:29" s="1" customFormat="1" ht="24.95" customHeight="1" x14ac:dyDescent="0.25">
      <c r="A11" s="89" t="s">
        <v>69</v>
      </c>
      <c r="B11" s="94">
        <v>9.2600002288818359</v>
      </c>
      <c r="C11" s="77"/>
      <c r="D11" s="99" t="s">
        <v>72</v>
      </c>
      <c r="E11" s="100" t="s">
        <v>73</v>
      </c>
      <c r="F11" s="100" t="s">
        <v>67</v>
      </c>
      <c r="G11" s="97" t="s">
        <v>72</v>
      </c>
      <c r="H11" s="97" t="s">
        <v>73</v>
      </c>
      <c r="I11" s="97" t="s">
        <v>67</v>
      </c>
      <c r="J11" s="102" t="s">
        <v>72</v>
      </c>
      <c r="K11" s="102" t="s">
        <v>73</v>
      </c>
      <c r="L11" s="103" t="s">
        <v>67</v>
      </c>
      <c r="M11" s="78"/>
      <c r="Q11" s="89" t="s">
        <v>69</v>
      </c>
      <c r="R11" s="94">
        <v>8</v>
      </c>
      <c r="S11" s="77"/>
      <c r="T11" s="113" t="s">
        <v>72</v>
      </c>
      <c r="U11" s="114" t="s">
        <v>73</v>
      </c>
      <c r="V11" s="114" t="s">
        <v>67</v>
      </c>
      <c r="W11" s="102" t="s">
        <v>72</v>
      </c>
      <c r="X11" s="102" t="s">
        <v>73</v>
      </c>
      <c r="Y11" s="102" t="s">
        <v>67</v>
      </c>
      <c r="Z11" s="61" t="s">
        <v>72</v>
      </c>
      <c r="AA11" s="61" t="s">
        <v>73</v>
      </c>
      <c r="AB11" s="105" t="s">
        <v>67</v>
      </c>
      <c r="AC11" s="78"/>
    </row>
    <row r="12" spans="1:29" s="1" customFormat="1" ht="24.95" customHeight="1" thickBot="1" x14ac:dyDescent="0.3">
      <c r="A12" s="90" t="s">
        <v>70</v>
      </c>
      <c r="B12" s="95">
        <v>70.300003051757813</v>
      </c>
      <c r="C12" s="77"/>
      <c r="D12" s="99">
        <v>9</v>
      </c>
      <c r="E12" s="100">
        <v>3824</v>
      </c>
      <c r="F12" s="101">
        <v>16.920000076293945</v>
      </c>
      <c r="G12" s="97">
        <v>5</v>
      </c>
      <c r="H12" s="97">
        <v>1828</v>
      </c>
      <c r="I12" s="98">
        <v>8.0900001525878906</v>
      </c>
      <c r="J12" s="102">
        <v>2</v>
      </c>
      <c r="K12" s="102">
        <v>539</v>
      </c>
      <c r="L12" s="104">
        <v>4.679999828338623</v>
      </c>
      <c r="M12" s="78"/>
      <c r="Q12" s="90" t="s">
        <v>70</v>
      </c>
      <c r="R12" s="95">
        <v>72.199996948242188</v>
      </c>
      <c r="S12" s="77"/>
      <c r="T12" s="115">
        <f>T7+W7</f>
        <v>39</v>
      </c>
      <c r="U12" s="116">
        <f>U7+X7</f>
        <v>16811</v>
      </c>
      <c r="V12" s="117">
        <f>V7+Y7</f>
        <v>74.379999160766602</v>
      </c>
      <c r="W12" s="109">
        <f>Z7</f>
        <v>5</v>
      </c>
      <c r="X12" s="109">
        <f>AA7</f>
        <v>1688</v>
      </c>
      <c r="Y12" s="110">
        <f>AB7</f>
        <v>14.690000534057617</v>
      </c>
      <c r="Z12" s="106">
        <f>T12+W12</f>
        <v>44</v>
      </c>
      <c r="AA12" s="106">
        <v>18499</v>
      </c>
      <c r="AB12" s="107">
        <v>89.069999694824219</v>
      </c>
      <c r="AC12" s="78"/>
    </row>
    <row r="13" spans="1:29" s="1" customFormat="1" ht="24.95" customHeight="1" thickBot="1" x14ac:dyDescent="0.3">
      <c r="A13" s="79"/>
      <c r="B13" s="65"/>
      <c r="C13" s="77"/>
      <c r="D13" s="64"/>
      <c r="E13" s="65"/>
      <c r="F13" s="65"/>
      <c r="G13" s="65"/>
      <c r="H13" s="65"/>
      <c r="I13" s="65"/>
      <c r="J13" s="65"/>
      <c r="K13" s="65"/>
      <c r="L13" s="66"/>
      <c r="M13" s="78"/>
      <c r="Q13" s="79"/>
      <c r="R13" s="65"/>
      <c r="S13" s="77"/>
      <c r="T13" s="74"/>
      <c r="U13" s="74"/>
      <c r="V13" s="74"/>
      <c r="W13" s="74"/>
      <c r="X13" s="74"/>
      <c r="Y13" s="74"/>
      <c r="Z13" s="74"/>
      <c r="AA13" s="74"/>
      <c r="AB13" s="74"/>
      <c r="AC13" s="78"/>
    </row>
    <row r="14" spans="1:29" s="1" customFormat="1" ht="24.95" customHeight="1" thickBot="1" x14ac:dyDescent="0.3">
      <c r="A14" s="85" t="s">
        <v>63</v>
      </c>
      <c r="B14" s="87">
        <v>9.6899995803833008</v>
      </c>
      <c r="C14" s="77"/>
      <c r="D14" s="157" t="s">
        <v>32</v>
      </c>
      <c r="E14" s="159"/>
      <c r="F14" s="159"/>
      <c r="G14" s="159"/>
      <c r="H14" s="159"/>
      <c r="I14" s="159"/>
      <c r="J14" s="159"/>
      <c r="K14" s="159"/>
      <c r="L14" s="158"/>
      <c r="M14" s="78"/>
      <c r="Q14" s="85" t="s">
        <v>63</v>
      </c>
      <c r="R14" s="87">
        <v>6.9099998474121094</v>
      </c>
      <c r="S14" s="77"/>
      <c r="T14" s="23"/>
      <c r="U14" s="23"/>
      <c r="V14" s="23"/>
      <c r="W14" s="23"/>
      <c r="X14" s="23"/>
      <c r="Y14" s="23"/>
      <c r="Z14" s="23"/>
      <c r="AA14" s="23"/>
      <c r="AB14" s="23"/>
      <c r="AC14" s="78"/>
    </row>
    <row r="15" spans="1:29" s="1" customFormat="1" ht="24.95" customHeight="1" thickBot="1" x14ac:dyDescent="0.3">
      <c r="A15" s="86" t="s">
        <v>64</v>
      </c>
      <c r="B15" s="84">
        <v>1.6000000238418579</v>
      </c>
      <c r="C15" s="77"/>
      <c r="D15" s="160" t="s">
        <v>16</v>
      </c>
      <c r="E15" s="161"/>
      <c r="F15" s="161"/>
      <c r="G15" s="161" t="s">
        <v>17</v>
      </c>
      <c r="H15" s="161"/>
      <c r="I15" s="161"/>
      <c r="J15" s="161" t="s">
        <v>76</v>
      </c>
      <c r="K15" s="161"/>
      <c r="L15" s="162"/>
      <c r="M15" s="78"/>
      <c r="Q15" s="86" t="s">
        <v>64</v>
      </c>
      <c r="R15" s="84">
        <v>1.4600000381469727</v>
      </c>
      <c r="S15" s="77"/>
      <c r="T15" s="23"/>
      <c r="U15" s="23"/>
      <c r="V15" s="23"/>
      <c r="W15" s="23"/>
      <c r="X15" s="23"/>
      <c r="Y15" s="23"/>
      <c r="Z15" s="23"/>
      <c r="AA15" s="23"/>
      <c r="AB15" s="23"/>
      <c r="AC15" s="78"/>
    </row>
    <row r="16" spans="1:29" ht="24.95" customHeight="1" thickBot="1" x14ac:dyDescent="0.3">
      <c r="A16" s="26"/>
      <c r="B16" s="74"/>
      <c r="C16" s="23"/>
      <c r="D16" s="113" t="s">
        <v>72</v>
      </c>
      <c r="E16" s="114" t="s">
        <v>73</v>
      </c>
      <c r="F16" s="114" t="s">
        <v>67</v>
      </c>
      <c r="G16" s="102" t="s">
        <v>72</v>
      </c>
      <c r="H16" s="102" t="s">
        <v>73</v>
      </c>
      <c r="I16" s="102" t="s">
        <v>67</v>
      </c>
      <c r="J16" s="61" t="s">
        <v>72</v>
      </c>
      <c r="K16" s="61" t="s">
        <v>73</v>
      </c>
      <c r="L16" s="105" t="s">
        <v>67</v>
      </c>
      <c r="M16" s="24"/>
      <c r="Q16" s="26"/>
      <c r="R16" s="74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4"/>
    </row>
    <row r="17" spans="1:29" ht="24.95" customHeight="1" thickBot="1" x14ac:dyDescent="0.3">
      <c r="A17" s="83" t="s">
        <v>58</v>
      </c>
      <c r="B17" s="130">
        <v>1.5500000715255737</v>
      </c>
      <c r="C17" s="23"/>
      <c r="D17" s="115">
        <f>D12+G12</f>
        <v>14</v>
      </c>
      <c r="E17" s="116">
        <f>E12+H12</f>
        <v>5652</v>
      </c>
      <c r="F17" s="117">
        <f>F12+I12</f>
        <v>25.010000228881836</v>
      </c>
      <c r="G17" s="109">
        <f>J12</f>
        <v>2</v>
      </c>
      <c r="H17" s="109">
        <f>K12</f>
        <v>539</v>
      </c>
      <c r="I17" s="110">
        <f>L12</f>
        <v>4.679999828338623</v>
      </c>
      <c r="J17" s="106">
        <f>D17+G17</f>
        <v>16</v>
      </c>
      <c r="K17" s="106">
        <v>6693</v>
      </c>
      <c r="L17" s="107">
        <v>32.669998168945313</v>
      </c>
      <c r="M17" s="24"/>
      <c r="Q17" s="26"/>
      <c r="R17" s="74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4"/>
    </row>
    <row r="18" spans="1:29" ht="15.75" thickBot="1" x14ac:dyDescent="0.3">
      <c r="A18" s="80"/>
      <c r="B18" s="81"/>
      <c r="C18" s="38"/>
      <c r="D18" s="81"/>
      <c r="E18" s="81"/>
      <c r="F18" s="81"/>
      <c r="G18" s="81"/>
      <c r="H18" s="81"/>
      <c r="I18" s="81"/>
      <c r="J18" s="81"/>
      <c r="K18" s="81"/>
      <c r="L18" s="81"/>
      <c r="M18" s="82"/>
      <c r="Q18" s="80"/>
      <c r="R18" s="81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82"/>
    </row>
  </sheetData>
  <mergeCells count="21">
    <mergeCell ref="A4:B4"/>
    <mergeCell ref="D9:L9"/>
    <mergeCell ref="D10:F10"/>
    <mergeCell ref="G10:I10"/>
    <mergeCell ref="J10:L10"/>
    <mergeCell ref="K5:L5"/>
    <mergeCell ref="H5:I5"/>
    <mergeCell ref="E5:F5"/>
    <mergeCell ref="Q4:R4"/>
    <mergeCell ref="T4:AB4"/>
    <mergeCell ref="D15:F15"/>
    <mergeCell ref="G15:I15"/>
    <mergeCell ref="J15:L15"/>
    <mergeCell ref="D14:L14"/>
    <mergeCell ref="T5:V5"/>
    <mergeCell ref="W5:Y5"/>
    <mergeCell ref="Z5:AB5"/>
    <mergeCell ref="T9:AB9"/>
    <mergeCell ref="T10:V10"/>
    <mergeCell ref="W10:Y10"/>
    <mergeCell ref="Z10:AB1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Сушилка FEZER</vt:lpstr>
      <vt:lpstr>Сортировка-стопоукладка FEZER</vt:lpstr>
      <vt:lpstr>RAUTE VE лущение</vt:lpstr>
      <vt:lpstr>RAUTE VE смена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2021-08-20T20:38:47Z</dcterms:modified>
</cp:coreProperties>
</file>